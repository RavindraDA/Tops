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005b58fa705b1/New Folder/excel/"/>
    </mc:Choice>
  </mc:AlternateContent>
  <xr:revisionPtr revIDLastSave="3" documentId="8_{D8810EB9-294C-4DD6-B8E5-D3F71578E5FB}" xr6:coauthVersionLast="47" xr6:coauthVersionMax="47" xr10:uidLastSave="{DB674AA4-1F2F-4C3B-BFA7-DAA07B85E733}"/>
  <bookViews>
    <workbookView xWindow="-108" yWindow="-108" windowWidth="23256" windowHeight="12576" xr2:uid="{17E2C856-99AB-43DB-A6A9-9AC73780502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1" l="1"/>
  <c r="K5" i="1"/>
  <c r="K6" i="1"/>
  <c r="K2" i="1"/>
  <c r="J2" i="1"/>
  <c r="J3" i="1"/>
  <c r="J5" i="1"/>
  <c r="J6" i="1"/>
  <c r="I2" i="1"/>
  <c r="I3" i="1"/>
  <c r="I4" i="1"/>
  <c r="J4" i="1" s="1"/>
  <c r="I5" i="1"/>
  <c r="I6" i="1"/>
  <c r="E3" i="2"/>
  <c r="E4" i="2"/>
  <c r="E5" i="2"/>
  <c r="E6" i="2"/>
  <c r="E2" i="2"/>
  <c r="H3" i="1"/>
  <c r="H4" i="1"/>
  <c r="K4" i="1" s="1"/>
  <c r="H5" i="1"/>
  <c r="H6" i="1"/>
  <c r="H2" i="1"/>
  <c r="G3" i="1"/>
  <c r="G4" i="1"/>
  <c r="G5" i="1"/>
  <c r="G6" i="1"/>
  <c r="G2" i="1"/>
  <c r="F2" i="1"/>
  <c r="F3" i="1"/>
  <c r="F4" i="1"/>
  <c r="F5" i="1"/>
  <c r="F6" i="1"/>
</calcChain>
</file>

<file path=xl/sharedStrings.xml><?xml version="1.0" encoding="utf-8"?>
<sst xmlns="http://schemas.openxmlformats.org/spreadsheetml/2006/main" count="36" uniqueCount="31">
  <si>
    <t>sr.no</t>
  </si>
  <si>
    <t>name of the student</t>
  </si>
  <si>
    <t>sub1</t>
  </si>
  <si>
    <t>sub2</t>
  </si>
  <si>
    <t>sub3</t>
  </si>
  <si>
    <t>A</t>
  </si>
  <si>
    <t>B</t>
  </si>
  <si>
    <t>C</t>
  </si>
  <si>
    <t>D</t>
  </si>
  <si>
    <t>E</t>
  </si>
  <si>
    <t>total</t>
  </si>
  <si>
    <t>result(with and condition)</t>
  </si>
  <si>
    <t>result(with or condition)</t>
  </si>
  <si>
    <t xml:space="preserve">Sr no </t>
  </si>
  <si>
    <t>emp</t>
  </si>
  <si>
    <t xml:space="preserve">Days </t>
  </si>
  <si>
    <t>Perfomance</t>
  </si>
  <si>
    <t>promotion(yes/no)</t>
  </si>
  <si>
    <t>%Age</t>
  </si>
  <si>
    <t>only grade</t>
  </si>
  <si>
    <t>grade with result condtion</t>
  </si>
  <si>
    <t>Sr No</t>
  </si>
  <si>
    <t>Customer</t>
  </si>
  <si>
    <t xml:space="preserve">Quantity order </t>
  </si>
  <si>
    <t>discount</t>
  </si>
  <si>
    <t>Anil</t>
  </si>
  <si>
    <t>Vikas</t>
  </si>
  <si>
    <t>sachin</t>
  </si>
  <si>
    <t>vijay</t>
  </si>
  <si>
    <t>virat</t>
  </si>
  <si>
    <t>snehal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</si>
</sst>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4A53-88F2-4482-AAB2-944887327EDB}">
  <dimension ref="A1:K6"/>
  <sheetViews>
    <sheetView tabSelected="1" zoomScale="130" zoomScaleNormal="130" workbookViewId="0">
      <selection activeCell="L2" sqref="L2"/>
    </sheetView>
  </sheetViews>
  <sheetFormatPr defaultRowHeight="14.4" x14ac:dyDescent="0.3"/>
  <cols>
    <col min="1" max="1" width="5.109375" bestFit="1" customWidth="1"/>
    <col min="2" max="2" width="18" bestFit="1" customWidth="1"/>
    <col min="3" max="3" width="8.109375" bestFit="1" customWidth="1"/>
    <col min="4" max="6" width="4.88671875" bestFit="1" customWidth="1"/>
    <col min="7" max="7" width="23.6640625" bestFit="1" customWidth="1"/>
    <col min="8" max="8" width="22.109375" bestFit="1" customWidth="1"/>
    <col min="10" max="10" width="9.88671875" bestFit="1" customWidth="1"/>
    <col min="11" max="11" width="22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18</v>
      </c>
      <c r="J1" s="1" t="s">
        <v>19</v>
      </c>
      <c r="K1" s="1" t="s">
        <v>20</v>
      </c>
    </row>
    <row r="2" spans="1:11" x14ac:dyDescent="0.3">
      <c r="A2">
        <v>1</v>
      </c>
      <c r="B2" t="s">
        <v>5</v>
      </c>
      <c r="C2">
        <v>37</v>
      </c>
      <c r="D2">
        <v>99</v>
      </c>
      <c r="E2">
        <v>56</v>
      </c>
      <c r="F2">
        <f>SUM(C2:E2)</f>
        <v>192</v>
      </c>
      <c r="G2" t="str">
        <f>IF(AND(C2&gt;=35,D2&gt;=35,E2&gt;=35),"Pass","Fail")</f>
        <v>Pass</v>
      </c>
      <c r="H2" t="str">
        <f>IF(OR(C2&lt;35,D2&lt;35,E2&lt;35),"Fail","Pass")</f>
        <v>Pass</v>
      </c>
      <c r="I2">
        <f>SUM(C2:E2)/300*100</f>
        <v>64</v>
      </c>
      <c r="J2" t="str">
        <f>IF(I2&gt;=90,"A++",IF(I2&gt;=75,"A+",IF(I2&gt;=60,"A",IF(I2&gt;=45,"B",IF(I2&gt;=35,"C","Fail")))))</f>
        <v>A</v>
      </c>
      <c r="K2" t="str">
        <f>IF(H2="Fail","Fail",IF(I2&gt;=90,"A++",IF(I2&gt;=75,"A+",IF(I2&gt;=60,"A",IF(I2&gt;=45,"B",IF(I2&gt;=35,"C","Fail"))))))</f>
        <v>A</v>
      </c>
    </row>
    <row r="3" spans="1:11" x14ac:dyDescent="0.3">
      <c r="A3">
        <v>2</v>
      </c>
      <c r="B3" t="s">
        <v>6</v>
      </c>
      <c r="C3">
        <v>54</v>
      </c>
      <c r="D3">
        <v>94</v>
      </c>
      <c r="E3">
        <v>90</v>
      </c>
      <c r="F3">
        <f t="shared" ref="F3:F6" si="0">SUM(C3:E3)</f>
        <v>238</v>
      </c>
      <c r="G3" t="str">
        <f t="shared" ref="G3:G6" si="1">IF(AND(C3&gt;=35,D3&gt;=35,E3&gt;=35),"Pass","Fail")</f>
        <v>Pass</v>
      </c>
      <c r="H3" t="str">
        <f t="shared" ref="H3:H6" si="2">IF(OR(C3&lt;35,D3&lt;35,E3&lt;35),"Fail","Pass")</f>
        <v>Pass</v>
      </c>
      <c r="I3">
        <f t="shared" ref="I3:I6" si="3">SUM(C3:E3)/300*100</f>
        <v>79.333333333333329</v>
      </c>
      <c r="J3" t="str">
        <f t="shared" ref="J3:J6" si="4">IF(I3&gt;=90,"A++",IF(I3&gt;=75,"A+",IF(I3&gt;=60,"A",IF(I3&gt;=45,"B",IF(I3&gt;=35,"C","Fail")))))</f>
        <v>A+</v>
      </c>
      <c r="K3" t="str">
        <f t="shared" ref="K3:K6" si="5">IF(H3="Fail","Fail",IF(I3&gt;=90,"A++",IF(I3&gt;=75,"A+",IF(I3&gt;=60,"A",IF(I3&gt;=45,"B",IF(I3&gt;=35,"C","Fail"))))))</f>
        <v>A+</v>
      </c>
    </row>
    <row r="4" spans="1:11" x14ac:dyDescent="0.3">
      <c r="A4">
        <v>3</v>
      </c>
      <c r="B4" t="s">
        <v>7</v>
      </c>
      <c r="C4">
        <v>72</v>
      </c>
      <c r="D4">
        <v>40</v>
      </c>
      <c r="E4">
        <v>50</v>
      </c>
      <c r="F4">
        <f t="shared" si="0"/>
        <v>162</v>
      </c>
      <c r="G4" t="str">
        <f t="shared" si="1"/>
        <v>Pass</v>
      </c>
      <c r="H4" t="str">
        <f t="shared" si="2"/>
        <v>Pass</v>
      </c>
      <c r="I4">
        <f t="shared" si="3"/>
        <v>54</v>
      </c>
      <c r="J4" t="str">
        <f t="shared" si="4"/>
        <v>B</v>
      </c>
      <c r="K4" t="str">
        <f t="shared" si="5"/>
        <v>B</v>
      </c>
    </row>
    <row r="5" spans="1:11" x14ac:dyDescent="0.3">
      <c r="A5">
        <v>4</v>
      </c>
      <c r="B5" t="s">
        <v>8</v>
      </c>
      <c r="C5">
        <v>22</v>
      </c>
      <c r="D5">
        <v>11</v>
      </c>
      <c r="E5">
        <v>33</v>
      </c>
      <c r="F5">
        <f t="shared" si="0"/>
        <v>66</v>
      </c>
      <c r="G5" t="str">
        <f t="shared" si="1"/>
        <v>Fail</v>
      </c>
      <c r="H5" t="str">
        <f t="shared" si="2"/>
        <v>Fail</v>
      </c>
      <c r="I5">
        <f t="shared" si="3"/>
        <v>22</v>
      </c>
      <c r="J5" t="str">
        <f t="shared" si="4"/>
        <v>Fail</v>
      </c>
      <c r="K5" t="str">
        <f t="shared" si="5"/>
        <v>Fail</v>
      </c>
    </row>
    <row r="6" spans="1:11" x14ac:dyDescent="0.3">
      <c r="A6">
        <v>5</v>
      </c>
      <c r="B6" t="s">
        <v>9</v>
      </c>
      <c r="C6">
        <v>61</v>
      </c>
      <c r="D6">
        <v>22</v>
      </c>
      <c r="E6">
        <v>22</v>
      </c>
      <c r="F6">
        <f t="shared" si="0"/>
        <v>105</v>
      </c>
      <c r="G6" t="str">
        <f t="shared" si="1"/>
        <v>Fail</v>
      </c>
      <c r="H6" t="str">
        <f t="shared" si="2"/>
        <v>Fail</v>
      </c>
      <c r="I6">
        <f t="shared" si="3"/>
        <v>35</v>
      </c>
      <c r="J6" t="str">
        <f t="shared" si="4"/>
        <v>C</v>
      </c>
      <c r="K6" t="str">
        <f t="shared" si="5"/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3B93-5B9F-4FB9-BE63-73C591AD18D5}">
  <dimension ref="A1:E6"/>
  <sheetViews>
    <sheetView zoomScale="205" zoomScaleNormal="205" workbookViewId="0">
      <selection activeCell="F1" sqref="F1"/>
    </sheetView>
  </sheetViews>
  <sheetFormatPr defaultRowHeight="14.4" x14ac:dyDescent="0.3"/>
  <cols>
    <col min="4" max="4" width="10.88671875" bestFit="1" customWidth="1"/>
    <col min="5" max="5" width="16.77734375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>
        <v>1</v>
      </c>
      <c r="B2" t="s">
        <v>5</v>
      </c>
      <c r="C2">
        <v>126</v>
      </c>
      <c r="D2">
        <v>9</v>
      </c>
      <c r="E2" t="str">
        <f>IF(AND(C2&gt;130,D2&gt;5),"Yes","No")</f>
        <v>No</v>
      </c>
    </row>
    <row r="3" spans="1:5" x14ac:dyDescent="0.3">
      <c r="A3">
        <v>2</v>
      </c>
      <c r="B3" t="s">
        <v>6</v>
      </c>
      <c r="C3">
        <v>145</v>
      </c>
      <c r="D3">
        <v>5</v>
      </c>
      <c r="E3" t="str">
        <f t="shared" ref="E3:E6" si="0">IF(AND(C3&gt;130,D3&gt;5),"Yes","No")</f>
        <v>No</v>
      </c>
    </row>
    <row r="4" spans="1:5" x14ac:dyDescent="0.3">
      <c r="A4">
        <v>3</v>
      </c>
      <c r="B4" t="s">
        <v>7</v>
      </c>
      <c r="C4">
        <v>123</v>
      </c>
      <c r="D4">
        <v>6</v>
      </c>
      <c r="E4" t="str">
        <f t="shared" si="0"/>
        <v>No</v>
      </c>
    </row>
    <row r="5" spans="1:5" x14ac:dyDescent="0.3">
      <c r="A5">
        <v>4</v>
      </c>
      <c r="B5" t="s">
        <v>8</v>
      </c>
      <c r="C5">
        <v>121</v>
      </c>
      <c r="D5">
        <v>3</v>
      </c>
      <c r="E5" t="str">
        <f t="shared" si="0"/>
        <v>No</v>
      </c>
    </row>
    <row r="6" spans="1:5" x14ac:dyDescent="0.3">
      <c r="A6">
        <v>5</v>
      </c>
      <c r="B6" t="s">
        <v>9</v>
      </c>
      <c r="C6">
        <v>141</v>
      </c>
      <c r="D6">
        <v>4</v>
      </c>
      <c r="E6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647A-88D3-4048-A791-5AB1E30E1E4C}">
  <dimension ref="A1:D7"/>
  <sheetViews>
    <sheetView zoomScale="160" zoomScaleNormal="160" workbookViewId="0">
      <selection activeCell="B8" sqref="B8"/>
    </sheetView>
  </sheetViews>
  <sheetFormatPr defaultRowHeight="14.4" x14ac:dyDescent="0.3"/>
  <cols>
    <col min="3" max="3" width="13.5546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 t="s">
        <v>25</v>
      </c>
    </row>
    <row r="3" spans="1:4" x14ac:dyDescent="0.3">
      <c r="A3">
        <v>2</v>
      </c>
      <c r="B3" t="s">
        <v>26</v>
      </c>
    </row>
    <row r="4" spans="1:4" x14ac:dyDescent="0.3">
      <c r="A4">
        <v>3</v>
      </c>
      <c r="B4" t="s">
        <v>27</v>
      </c>
    </row>
    <row r="5" spans="1:4" x14ac:dyDescent="0.3">
      <c r="A5">
        <v>4</v>
      </c>
      <c r="B5" t="s">
        <v>28</v>
      </c>
    </row>
    <row r="6" spans="1:4" x14ac:dyDescent="0.3">
      <c r="A6">
        <v>5</v>
      </c>
      <c r="B6" t="s">
        <v>29</v>
      </c>
    </row>
    <row r="7" spans="1:4" x14ac:dyDescent="0.3">
      <c r="A7">
        <v>6</v>
      </c>
      <c r="B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 PC</cp:lastModifiedBy>
  <dcterms:created xsi:type="dcterms:W3CDTF">2026-05-26T09:24:43Z</dcterms:created>
  <dcterms:modified xsi:type="dcterms:W3CDTF">2026-06-09T14:47:43Z</dcterms:modified>
</cp:coreProperties>
</file>